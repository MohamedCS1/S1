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80" windowHeight="433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J7" i="1" s="1"/>
  <c r="I8" i="1"/>
  <c r="J8" i="1" s="1"/>
  <c r="I9" i="1"/>
  <c r="J9" i="1" s="1"/>
  <c r="I10" i="1"/>
  <c r="J10" i="1" s="1"/>
  <c r="J6" i="1" l="1"/>
  <c r="I14" i="1"/>
  <c r="J5" i="1"/>
  <c r="I11" i="1"/>
  <c r="I12" i="1" s="1"/>
  <c r="I13" i="1"/>
</calcChain>
</file>

<file path=xl/sharedStrings.xml><?xml version="1.0" encoding="utf-8"?>
<sst xmlns="http://schemas.openxmlformats.org/spreadsheetml/2006/main" count="17" uniqueCount="17">
  <si>
    <t>Prix d'une chambre</t>
  </si>
  <si>
    <t>Prix petit déjeuner</t>
  </si>
  <si>
    <t>Pix déjeuner</t>
  </si>
  <si>
    <t>Prix diner</t>
  </si>
  <si>
    <t>pension complète</t>
  </si>
  <si>
    <t>El Mouradi</t>
  </si>
  <si>
    <t>chichkhan</t>
  </si>
  <si>
    <t>pyramide</t>
  </si>
  <si>
    <t>kheops</t>
  </si>
  <si>
    <t>le prince</t>
  </si>
  <si>
    <t>lalla Baya</t>
  </si>
  <si>
    <t>Nombre d'étoile</t>
  </si>
  <si>
    <t>Somme</t>
  </si>
  <si>
    <t>Moyenne</t>
  </si>
  <si>
    <t>Minimum</t>
  </si>
  <si>
    <t>Maximum</t>
  </si>
  <si>
    <t>pension complète avec 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</si>
</sst>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€-2]\ * #,##0.00_-;\-[$€-2]\ * #,##0.00_-;_-[$€-2]\ * &quot;-&quot;??_-;_-@_-"/>
    <numFmt numFmtId="165" formatCode="_-* #,##0.00\ [$€-40C]_-;\-* #,##0.00\ [$€-40C]_-;_-* &quot;-&quot;??\ [$€-40C]_-;_-@_-"/>
    <numFmt numFmtId="166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Trebuchet MS"/>
      <family val="2"/>
    </font>
    <font>
      <b/>
      <sz val="11"/>
      <color theme="0"/>
      <name val="Trebuchet MS"/>
      <family val="2"/>
    </font>
    <font>
      <sz val="11"/>
      <color theme="1"/>
      <name val="Trebuchet MS"/>
      <family val="2"/>
    </font>
    <font>
      <b/>
      <sz val="1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3" fillId="0" borderId="3" xfId="0" applyNumberFormat="1" applyFont="1" applyBorder="1"/>
    <xf numFmtId="165" fontId="3" fillId="0" borderId="1" xfId="0" applyNumberFormat="1" applyFont="1" applyBorder="1"/>
    <xf numFmtId="165" fontId="3" fillId="0" borderId="4" xfId="0" applyNumberFormat="1" applyFont="1" applyBorder="1"/>
    <xf numFmtId="165" fontId="3" fillId="0" borderId="8" xfId="0" applyNumberFormat="1" applyFont="1" applyFill="1" applyBorder="1"/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7"/>
  <sheetViews>
    <sheetView tabSelected="1" workbookViewId="0">
      <selection activeCell="J10" sqref="J10"/>
    </sheetView>
  </sheetViews>
  <sheetFormatPr baseColWidth="10" defaultRowHeight="14.5" x14ac:dyDescent="0.35"/>
  <cols>
    <col min="9" max="9" width="10.90625" customWidth="1"/>
  </cols>
  <sheetData>
    <row r="4" spans="1:10" ht="58" x14ac:dyDescent="0.35">
      <c r="C4" s="1"/>
      <c r="D4" s="2" t="s">
        <v>11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16</v>
      </c>
    </row>
    <row r="5" spans="1:10" x14ac:dyDescent="0.35">
      <c r="C5" s="3" t="s">
        <v>5</v>
      </c>
      <c r="D5" s="7">
        <v>5</v>
      </c>
      <c r="E5" s="11">
        <v>54</v>
      </c>
      <c r="F5" s="11">
        <v>3.6</v>
      </c>
      <c r="G5" s="11">
        <v>11</v>
      </c>
      <c r="H5" s="11">
        <v>13.5</v>
      </c>
      <c r="I5" s="11">
        <f>E5+F5+G5+H5</f>
        <v>82.1</v>
      </c>
      <c r="J5" s="12">
        <f>IF(I5&gt;72,I5-I5*0.1,I5)</f>
        <v>73.89</v>
      </c>
    </row>
    <row r="6" spans="1:10" x14ac:dyDescent="0.35">
      <c r="C6" s="3" t="s">
        <v>6</v>
      </c>
      <c r="D6" s="8">
        <v>5</v>
      </c>
      <c r="E6" s="12">
        <v>45</v>
      </c>
      <c r="F6" s="12">
        <v>5.4</v>
      </c>
      <c r="G6" s="12">
        <v>9</v>
      </c>
      <c r="H6" s="12">
        <v>10.8</v>
      </c>
      <c r="I6" s="11">
        <f t="shared" ref="I6:I10" si="0">E6+F6+G6+H6</f>
        <v>70.2</v>
      </c>
      <c r="J6" s="12">
        <f t="shared" ref="J6:J10" si="1">IF(I6&gt;72,I6-I6*0.1,I6)</f>
        <v>70.2</v>
      </c>
    </row>
    <row r="7" spans="1:10" x14ac:dyDescent="0.35">
      <c r="C7" s="3" t="s">
        <v>7</v>
      </c>
      <c r="D7" s="8">
        <v>3</v>
      </c>
      <c r="E7" s="12">
        <v>23</v>
      </c>
      <c r="F7" s="12">
        <v>6.34</v>
      </c>
      <c r="G7" s="12">
        <v>8.15</v>
      </c>
      <c r="H7" s="12">
        <v>9</v>
      </c>
      <c r="I7" s="11">
        <f t="shared" si="0"/>
        <v>46.49</v>
      </c>
      <c r="J7" s="12">
        <f t="shared" si="1"/>
        <v>46.49</v>
      </c>
    </row>
    <row r="8" spans="1:10" x14ac:dyDescent="0.35">
      <c r="C8" s="3" t="s">
        <v>8</v>
      </c>
      <c r="D8" s="9">
        <v>3</v>
      </c>
      <c r="E8" s="13">
        <v>27</v>
      </c>
      <c r="F8" s="13">
        <v>4.5</v>
      </c>
      <c r="G8" s="13">
        <v>7.24</v>
      </c>
      <c r="H8" s="13">
        <v>8.15</v>
      </c>
      <c r="I8" s="11">
        <f t="shared" si="0"/>
        <v>46.89</v>
      </c>
      <c r="J8" s="12">
        <f t="shared" si="1"/>
        <v>46.89</v>
      </c>
    </row>
    <row r="9" spans="1:10" x14ac:dyDescent="0.35">
      <c r="C9" s="3" t="s">
        <v>9</v>
      </c>
      <c r="D9" s="8">
        <v>4</v>
      </c>
      <c r="E9" s="12">
        <v>41</v>
      </c>
      <c r="F9" s="12">
        <v>3.62</v>
      </c>
      <c r="G9" s="12">
        <v>5.4</v>
      </c>
      <c r="H9" s="12">
        <v>5.4</v>
      </c>
      <c r="I9" s="12">
        <f t="shared" si="0"/>
        <v>55.419999999999995</v>
      </c>
      <c r="J9" s="12">
        <f t="shared" si="1"/>
        <v>55.419999999999995</v>
      </c>
    </row>
    <row r="10" spans="1:10" x14ac:dyDescent="0.35">
      <c r="C10" s="10" t="s">
        <v>10</v>
      </c>
      <c r="D10" s="9">
        <v>5</v>
      </c>
      <c r="E10" s="13">
        <v>68</v>
      </c>
      <c r="F10" s="13">
        <v>7.24</v>
      </c>
      <c r="G10" s="13">
        <v>13.5</v>
      </c>
      <c r="H10" s="13">
        <v>18</v>
      </c>
      <c r="I10" s="12">
        <f t="shared" si="0"/>
        <v>106.74</v>
      </c>
      <c r="J10" s="12">
        <f t="shared" si="1"/>
        <v>96.066000000000003</v>
      </c>
    </row>
    <row r="11" spans="1:10" x14ac:dyDescent="0.35">
      <c r="C11" s="15" t="s">
        <v>12</v>
      </c>
      <c r="D11" s="16"/>
      <c r="E11" s="16"/>
      <c r="F11" s="16"/>
      <c r="G11" s="16"/>
      <c r="H11" s="17"/>
      <c r="I11" s="12">
        <f>I5+I6+I7+I8+I9+I10</f>
        <v>407.84000000000003</v>
      </c>
      <c r="J11" s="14"/>
    </row>
    <row r="12" spans="1:10" x14ac:dyDescent="0.35">
      <c r="C12" s="15" t="s">
        <v>13</v>
      </c>
      <c r="D12" s="16"/>
      <c r="E12" s="16"/>
      <c r="F12" s="16"/>
      <c r="G12" s="16"/>
      <c r="H12" s="17"/>
      <c r="I12" s="12">
        <f>I11/6</f>
        <v>67.973333333333343</v>
      </c>
    </row>
    <row r="13" spans="1:10" x14ac:dyDescent="0.35">
      <c r="A13" s="6"/>
      <c r="C13" s="15" t="s">
        <v>14</v>
      </c>
      <c r="D13" s="16"/>
      <c r="E13" s="16"/>
      <c r="F13" s="16"/>
      <c r="G13" s="16"/>
      <c r="H13" s="17"/>
      <c r="I13" s="12">
        <f>MIN(I5,I6,I7,I8,I9,I10)</f>
        <v>46.49</v>
      </c>
    </row>
    <row r="14" spans="1:10" x14ac:dyDescent="0.35">
      <c r="C14" s="15" t="s">
        <v>15</v>
      </c>
      <c r="D14" s="16"/>
      <c r="E14" s="16"/>
      <c r="F14" s="16"/>
      <c r="G14" s="16"/>
      <c r="H14" s="17"/>
      <c r="I14" s="12">
        <f>MAX(I6,I7,I8,I9,I10)</f>
        <v>106.74</v>
      </c>
    </row>
    <row r="15" spans="1:10" x14ac:dyDescent="0.35">
      <c r="B15" s="4"/>
      <c r="C15" s="4"/>
      <c r="D15" s="4"/>
    </row>
    <row r="17" spans="2:3" x14ac:dyDescent="0.35">
      <c r="B17" s="5"/>
      <c r="C17" s="5"/>
    </row>
  </sheetData>
  <mergeCells count="4">
    <mergeCell ref="C11:H11"/>
    <mergeCell ref="C12:H12"/>
    <mergeCell ref="C13:H13"/>
    <mergeCell ref="C14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2024-01-18T15:07:40Z</dcterms:created>
  <dcterms:modified xsi:type="dcterms:W3CDTF">2024-01-21T10:47:13Z</dcterms:modified>
</cp:coreProperties>
</file>